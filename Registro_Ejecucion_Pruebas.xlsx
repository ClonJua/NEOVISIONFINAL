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nbosqueeduco-my.sharepoint.com/personal/jnavarrop_unbosque_edu_co/Documents/DocumentosProyectoGradoOptometria/ArchivosFinales/ProyectoGrado1-DOC/GUIA PRUEBAS/"/>
    </mc:Choice>
  </mc:AlternateContent>
  <xr:revisionPtr revIDLastSave="0" documentId="8_{3FA7D489-36F6-42B3-B11A-861736AA2808}" xr6:coauthVersionLast="47" xr6:coauthVersionMax="47" xr10:uidLastSave="{00000000-0000-0000-0000-000000000000}"/>
  <bookViews>
    <workbookView xWindow="9510" yWindow="0" windowWidth="9780" windowHeight="10170" firstSheet="8" activeTab="4" xr2:uid="{00000000-000D-0000-FFFF-FFFF00000000}"/>
  </bookViews>
  <sheets>
    <sheet name="Portada" sheetId="3" r:id="rId1"/>
    <sheet name="Dashboard_It1" sheetId="1" r:id="rId2"/>
    <sheet name="Dashboard_It2" sheetId="4" r:id="rId3"/>
    <sheet name="Dashboard_It3" sheetId="6" r:id="rId4"/>
    <sheet name="Dashboard_It4" sheetId="7" r:id="rId5"/>
    <sheet name="Registro de Pruebas_It1" sheetId="2" r:id="rId6"/>
    <sheet name="Registro de Pruebas_It2" sheetId="5" r:id="rId7"/>
    <sheet name="Registro de Pruebas_It3" sheetId="8" r:id="rId8"/>
    <sheet name="Registro de Pruebas_It4" sheetId="10" r:id="rId9"/>
    <sheet name=".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C8" i="7"/>
  <c r="C7" i="7"/>
  <c r="C6" i="7"/>
  <c r="C9" i="6"/>
  <c r="C8" i="6"/>
  <c r="C7" i="6"/>
  <c r="C6" i="6"/>
  <c r="C9" i="4"/>
  <c r="C8" i="4"/>
  <c r="C7" i="4"/>
  <c r="C6" i="4"/>
  <c r="C9" i="1"/>
  <c r="C8" i="1"/>
  <c r="C7" i="1"/>
  <c r="C6" i="1"/>
  <c r="A4" i="3"/>
</calcChain>
</file>

<file path=xl/sharedStrings.xml><?xml version="1.0" encoding="utf-8"?>
<sst xmlns="http://schemas.openxmlformats.org/spreadsheetml/2006/main" count="464" uniqueCount="235">
  <si>
    <t>IT 1</t>
  </si>
  <si>
    <t xml:space="preserve">Dasboard1 </t>
  </si>
  <si>
    <t>Registro pruebas 1</t>
  </si>
  <si>
    <t>IT 2</t>
  </si>
  <si>
    <t>Dasboard2</t>
  </si>
  <si>
    <t>Registro pruebas 2</t>
  </si>
  <si>
    <t>IT 3</t>
  </si>
  <si>
    <t>Dasboard3</t>
  </si>
  <si>
    <t>Registro pruebas 3</t>
  </si>
  <si>
    <t>IT 4</t>
  </si>
  <si>
    <t>Dasboard4</t>
  </si>
  <si>
    <t>Registro pruebas 4</t>
  </si>
  <si>
    <t>Resumen de Ejecución de Pruebas</t>
  </si>
  <si>
    <t>Proyecto: NeoVision</t>
  </si>
  <si>
    <t>Estado</t>
  </si>
  <si>
    <t>Cantidad</t>
  </si>
  <si>
    <t>Pasa</t>
  </si>
  <si>
    <t>Falla</t>
  </si>
  <si>
    <t>Total</t>
  </si>
  <si>
    <t>% Pasa</t>
  </si>
  <si>
    <t>ID del Caso</t>
  </si>
  <si>
    <t>Módulo o Componente</t>
  </si>
  <si>
    <t>Descripción de la Prueba</t>
  </si>
  <si>
    <t>Precondiciones</t>
  </si>
  <si>
    <t>Pasos de Ejecución (Desarrollo)</t>
  </si>
  <si>
    <t>Resultado Esperado</t>
  </si>
  <si>
    <t>Resultado Obtenido</t>
  </si>
  <si>
    <t>Responsable</t>
  </si>
  <si>
    <t>Observaciones / ID Defecto</t>
  </si>
  <si>
    <t>CP-001</t>
  </si>
  <si>
    <t xml:space="preserve">Base de Datos  - Tabla </t>
  </si>
  <si>
    <t>Validar que la tabla se crea con los campos que se definieron</t>
  </si>
  <si>
    <t>Motor de base de datos PostgreSQL inicializada, se cuenta con scripts de creación.</t>
  </si>
  <si>
    <t>1. Ejecutar Script CREATE TABLE 2. Verificar estructura 3. Confirmar campos
3. Clic en Pagar</t>
  </si>
  <si>
    <t>Tabla creada exitosamente</t>
  </si>
  <si>
    <t>El sistema mostró el mensaje correctamente</t>
  </si>
  <si>
    <t>José David Navarro</t>
  </si>
  <si>
    <t>Ejecutar despues de crear la base de datos.</t>
  </si>
  <si>
    <t>CP-002</t>
  </si>
  <si>
    <t>Validar que Id sea la llave primaria y rechace duplicados</t>
  </si>
  <si>
    <t>La base de datos debe estar creada e iniciada, y la tabla creada sin registros.</t>
  </si>
  <si>
    <t>1. Insertar registro A 2. Insertar otro con mismo llave primaria.</t>
  </si>
  <si>
    <t>El segundo INSERT debe fallar con error.</t>
  </si>
  <si>
    <t>La primera vez que se ejecutó contaba con error, se solucionó al momento de verificar la tabla.</t>
  </si>
  <si>
    <t>CP-003</t>
  </si>
  <si>
    <t>Validar que el campo de correo no sea NULL</t>
  </si>
  <si>
    <t>Tabla usuarios creada, base de datos creada</t>
  </si>
  <si>
    <t xml:space="preserve">1. Insertar en la tabla usuarios uno con correo null
</t>
  </si>
  <si>
    <t>Insert falla con error</t>
  </si>
  <si>
    <t>Alberto Ortega Zuluaga</t>
  </si>
  <si>
    <t>CP-004</t>
  </si>
  <si>
    <t xml:space="preserve">Validar que no se puede registrar dos usuarios con el mismo correo. </t>
  </si>
  <si>
    <t xml:space="preserve">Tabla usuarios creada con restricción de correo </t>
  </si>
  <si>
    <t xml:space="preserve">1. Insertar un usuario A con un correo. 2. Insertar un usuario B con el correo igual a A. </t>
  </si>
  <si>
    <t>El primer insert se ejecuta exitosamente, el segundo debe fallar.</t>
  </si>
  <si>
    <t>CP-005</t>
  </si>
  <si>
    <t>Validar que dos docentes no pueden tener el mismo correo.</t>
  </si>
  <si>
    <t>Tabla X creada, base de datos creada</t>
  </si>
  <si>
    <t>1. Insertar a la tabla un registro A con un correo institucional de profesor. 2. Insertar a la tabla un registro B con un correo institucional de profesor,</t>
  </si>
  <si>
    <t>Impide docentes duplicados.</t>
  </si>
  <si>
    <t>CP-006</t>
  </si>
  <si>
    <t>Módulo registro</t>
  </si>
  <si>
    <t>Validar si un usuario puede registrarse con correo y contraseña válidos,</t>
  </si>
  <si>
    <t>Tablas creadas,  base de datos conectada, backend activo y frontend activo.</t>
  </si>
  <si>
    <t xml:space="preserve">1. Ingresar a ventana registro. 2. Ingresar campos correctamente. 3. Verificar respuesta. </t>
  </si>
  <si>
    <t>Debe aparecer HTTP 201, la respuesta incluye contraseña hasheada en la base de datos.</t>
  </si>
  <si>
    <t>Sofía Morales</t>
  </si>
  <si>
    <t xml:space="preserve">La primera vez que se ejecutó contaba con error dado que no estaba conectado de manera correcta la base de datos, se solucionó al momento de conectar de manera correcta. </t>
  </si>
  <si>
    <t>CP-007</t>
  </si>
  <si>
    <t xml:space="preserve">Validar que no se puede registrar dos usuarios con el mismo correo (desde el frontend) </t>
  </si>
  <si>
    <t xml:space="preserve">1. Tener en la base de datos un registro con un correo A. 2. Desde la ventana registro completar campos correctamente colocando correo A. </t>
  </si>
  <si>
    <t>Debe aparecer un mensaje de error.</t>
  </si>
  <si>
    <t>La primera vez que se ejecutó no mostraba el mensaje, dado que no estaba creado sin embargo se creó y mostraba el mensaje posteriormente,</t>
  </si>
  <si>
    <t>CP-008</t>
  </si>
  <si>
    <t>Validar que no se puede crear una contraseña menor a 8 cáracteres</t>
  </si>
  <si>
    <t>1. Ingresar a ventana registro. 2. Ingresar campos correctamente. 3. Al crear contraseña escribir una con menos de 8 cáracteres.</t>
  </si>
  <si>
    <t xml:space="preserve">La primera vez que se ejecutó mostraba el mensaje de manera explícita, se ajusta el código para mostrar mensaje de manera clara, en prueba posterior muestra correctamente. </t>
  </si>
  <si>
    <t>CP-009</t>
  </si>
  <si>
    <t>Módulo inicio de sesión</t>
  </si>
  <si>
    <t>Verificar que un usuario que estaba registrado puede iniciar sesión.</t>
  </si>
  <si>
    <t>Tablas creadas,  base de datos conectada, backend activo. el usuario, contraseña a probar deben estar creados y frontend activo.</t>
  </si>
  <si>
    <t>1. Ingresar a ventana iniciar sesión (Es la primera que aparece) 2. En el campo usuario ingresar su usuario 3. En el campo contraseña ingresar su contraseña.</t>
  </si>
  <si>
    <t xml:space="preserve">Debe aparecer mensaje 200. </t>
  </si>
  <si>
    <t xml:space="preserve">Al ejecutar se imprimía contraseña para verificar que se encriptaba. </t>
  </si>
  <si>
    <t>CP-010</t>
  </si>
  <si>
    <t>Verificar que el inicio de sesión falla cuando se coloca usuario o contraseña incorrectos.</t>
  </si>
  <si>
    <t>Tablas creadas,  base de datos conectada, backend activo. el usuario y contraseña a probar deben estar creados.</t>
  </si>
  <si>
    <t>1. Mandar petición inicio de sesión con usuario correcto y contraseña incorrecta.</t>
  </si>
  <si>
    <t>Debe aparecer mensaje error.</t>
  </si>
  <si>
    <t>CP-011</t>
  </si>
  <si>
    <t>Verificar que el inicio de sesión falla cuando se coloca correo no registrado.</t>
  </si>
  <si>
    <t>Tablas creadas,  base de datos conectada, backend activo.</t>
  </si>
  <si>
    <t>1. Mandar petición inicio de sesión con usuario con correo que se ha creado y contraseña</t>
  </si>
  <si>
    <t>Se realizó validación backend y frontend.</t>
  </si>
  <si>
    <t>CP-012</t>
  </si>
  <si>
    <t>Verificiar inicio sesión como estudiante por medio de correo universidad no estando en el grupo creado por secretaria.</t>
  </si>
  <si>
    <t>Tablas creadas,  base de datos conectada, backend activo el correo institucional debe estar creado.</t>
  </si>
  <si>
    <t>1. Mandar petición inicio de sesión con usuario con correo de la universidad dando click a ingresar con Microsoft. 2. En caso de querer ser exitoso el correo debe estar previamente registrado 3. En caso de que no esté registrado debe dar error.</t>
  </si>
  <si>
    <t>CP-013</t>
  </si>
  <si>
    <t>Autenticación /Rol</t>
  </si>
  <si>
    <t>Verificar que estudiante se redirige a la ventana de estudiante.</t>
  </si>
  <si>
    <t>Usuario previamente registrado por la secretaria.</t>
  </si>
  <si>
    <t>1. Desde la pagina iniciar sesión seleccionar institucional. 2. Seleccionar iniciar sesión con Microsoft 3. Ingresar desde su correo institucional 4. Verificar que renderiza a la ventana estudiante.</t>
  </si>
  <si>
    <t>Debe redirigir a la ventana estudiante.</t>
  </si>
  <si>
    <t>El sistema redirigió correctamente.</t>
  </si>
  <si>
    <t>CP-014</t>
  </si>
  <si>
    <t>Verificar que docente se redirige a la ventana de docente.</t>
  </si>
  <si>
    <t>1. Desde la pagina iniciar sesión seleccionar institucional. 2. Seleccionar iniciar sesión con Microsoft 3. Ingresar desde su correo institucional 4. Verificar que renderiza a la ventana docente.</t>
  </si>
  <si>
    <t>Debe redirigir a la ventana docente.</t>
  </si>
  <si>
    <t>CP-015</t>
  </si>
  <si>
    <t>Verificar que admin (secretaria) se redirige a la ventana de admin.</t>
  </si>
  <si>
    <t>Usuario previamente creado.</t>
  </si>
  <si>
    <t>1. Desde la pagina iniciar sesión  2. ingresar usuario 3. Ingresar contraseña 4. Seleccionar iniciar sesión 4. Verificar que renderiza a la ventana admin.</t>
  </si>
  <si>
    <t>Debe redirigir a la ventana admin.</t>
  </si>
  <si>
    <t>CP-016</t>
  </si>
  <si>
    <t>Verificar que estudiante no tiene permisos admin.</t>
  </si>
  <si>
    <t>1. En estudiante(header authorization: Bearer &lt;Token estudiante&gt;) intentar endpoint solo secretaria</t>
  </si>
  <si>
    <t>Debe salir mensaje error.</t>
  </si>
  <si>
    <t>CPC-001</t>
  </si>
  <si>
    <t>Gestión de Citas</t>
  </si>
  <si>
    <t>Validar que se registra una sesión correctamente.</t>
  </si>
  <si>
    <t xml:space="preserve">Docente creado, espacio creado, estudiante creado, paciente creado. </t>
  </si>
  <si>
    <t>1. Verificar que espacio ya esté creado. 2. Verificar que docente, estudiante estén creados. 3. Seleccionar sesión 4. Escoger nueva sesión 5. Seleccionar docente 5. Seleccionar fecha inicio / fecha fin 6. Seleccionar hora inicio hora fin 7. Seleccionar cupos por sesion 8. Seleccionar espacio.</t>
  </si>
  <si>
    <t>El sistema debe mostrar mensaje correctamente.</t>
  </si>
  <si>
    <t>El sistema mostró el mensaje de error correctamente</t>
  </si>
  <si>
    <t>José David Navarro.</t>
  </si>
  <si>
    <t>Ninguna</t>
  </si>
  <si>
    <t>CPC-002</t>
  </si>
  <si>
    <t xml:space="preserve">Validar que se registra una sesión correctamente teniendo en cuenta que no se puede programar sesiones en años posteriores al actual </t>
  </si>
  <si>
    <t>1. Verificar que espacio ya esté creado. 2. Verificar que docente, estudiante estén creados. 3. Seleccionar sesión 4. Escoger nueva sesión 5. Seleccionar docente 5. Seleccionar fecha inicio / fecha fin en fecha que no es 6. Seleccionar hora inicio hora fin 7. Seleccionar cupos por sesion 8. Seleccionar espacio.</t>
  </si>
  <si>
    <t>El sistema debe mostrar mensaje error</t>
  </si>
  <si>
    <t>El sistema mostró el mensaje adecuado.</t>
  </si>
  <si>
    <t>Alberto Ortega</t>
  </si>
  <si>
    <t>CPC-003</t>
  </si>
  <si>
    <t>Visualizar sesiones en la fecha</t>
  </si>
  <si>
    <t>Docente creado, espacio creado, estudiante creado, paciente creado, sesión creada.</t>
  </si>
  <si>
    <t>1. En la sección de Sesiones dirigirse a la semana donde creó la sesión 2. Visualizar si está creada</t>
  </si>
  <si>
    <t>El sistema debe mostrar la sesión en la semana creada</t>
  </si>
  <si>
    <t>El sistema mostró la sesión.</t>
  </si>
  <si>
    <t>CPC-004</t>
  </si>
  <si>
    <t xml:space="preserve">Validar que se crea la cita sin problema. </t>
  </si>
  <si>
    <t xml:space="preserve">1. Verificar que la sesión ya esté creada 
2. Seleccionar nuevo 3. Seleccionar la sesión 4. Seleccionar estudiante 5. Seleccionar paciente 6. Llenar Observaciones </t>
  </si>
  <si>
    <t xml:space="preserve">El sistema debe guardar la cita </t>
  </si>
  <si>
    <t>El sistema guardó la cita y descontó el cupo disponible.</t>
  </si>
  <si>
    <t>CPC-005</t>
  </si>
  <si>
    <t xml:space="preserve">Exportar citas .xlsx y .pdf </t>
  </si>
  <si>
    <t>Docente creado, espacio creado, estudiante creado, paciente creado, sesión creada, cita creada.</t>
  </si>
  <si>
    <t>1. Verificar que existan citas creadas 2. Seleccionar formato a exportar 4. Seleccionar exportar</t>
  </si>
  <si>
    <t>El sistema exporta en el formato que se elige</t>
  </si>
  <si>
    <t>El sistema exportó en el formato que se eligió</t>
  </si>
  <si>
    <t>CPC-006</t>
  </si>
  <si>
    <t>Agendar cita por parte de paciente</t>
  </si>
  <si>
    <t xml:space="preserve">1. Seleccionar agendar cita. 2. Seleccionar tipo de cita 3. Seleccionar cita </t>
  </si>
  <si>
    <t>El sistema agenda exitosamente el registro y muestra en Docente y Estudiante el paciente.</t>
  </si>
  <si>
    <t>El sistema agendó correctamente.</t>
  </si>
  <si>
    <t>CPC-007</t>
  </si>
  <si>
    <t>Cancelar cita por parte de paciente</t>
  </si>
  <si>
    <t xml:space="preserve">1. Seleccionar cancelar cita 2. Escribir motivo </t>
  </si>
  <si>
    <t>El sistema cancela la cita y libera el cupo</t>
  </si>
  <si>
    <t>El sistema canceló correctamente.</t>
  </si>
  <si>
    <t>CPC-008</t>
  </si>
  <si>
    <t>Verificar que al agendar una cita se envía correo de confirmación al paciente.</t>
  </si>
  <si>
    <t>1. Verificar que la sesión ya esté creada 
2. Seleccionar nuevo 3. Seleccionar la sesión 4. Seleccionar estudiante 5. Seleccionar paciente 6. Llenar Observaciones 7. Revisar correo.</t>
  </si>
  <si>
    <t>El sistema notifica por correo al paciente.</t>
  </si>
  <si>
    <t xml:space="preserve">El sistema envía correo </t>
  </si>
  <si>
    <t>CPC-009</t>
  </si>
  <si>
    <t>Verificar que los campos obligatorios del formulario de cita son requeridos.</t>
  </si>
  <si>
    <t xml:space="preserve">1. Ir al apartado de agendar cita. 2. Dejar todos los campos vacios 3. Dar clic al botón guardar. </t>
  </si>
  <si>
    <t>El sistema muestra mensaje error.</t>
  </si>
  <si>
    <t>El sistema muestra mensaje acorde.</t>
  </si>
  <si>
    <t>CPC-010</t>
  </si>
  <si>
    <t>Verificar que el campo de fecha permita seleccionar y no deje escribir texto.</t>
  </si>
  <si>
    <t>1. Ir al apartado de sesión / cita 2. Seleccionar fecha 3. Verificar que abre calendario o selector.</t>
  </si>
  <si>
    <t>El sistema no muestra un textField en fecha.</t>
  </si>
  <si>
    <t>CPC-011</t>
  </si>
  <si>
    <t>Verificar que no deja seleccionar horas fuera de horario</t>
  </si>
  <si>
    <t>1. Ir al apartado de nueva cita. 2. Seleccionar hora fuera de horario 3. clic en guardar.</t>
  </si>
  <si>
    <t>CPC-012</t>
  </si>
  <si>
    <t>Verificar que listado de cirtas carga en tiempo aceptable con 30+ registros</t>
  </si>
  <si>
    <t>Docente creado, espacio creado, estudiante creado, paciente creado, cita creada.</t>
  </si>
  <si>
    <t>El sistema no se cae.</t>
  </si>
  <si>
    <t>CPMOV-001</t>
  </si>
  <si>
    <t xml:space="preserve">Autenticación móvil </t>
  </si>
  <si>
    <t>Validar que el usuario puede iniciar sesión desde la app.</t>
  </si>
  <si>
    <t>APK instalado en dispositivo, usuario registrado.</t>
  </si>
  <si>
    <t>1.Abrir aplicarivo 2. Pantalla login ingresar correo 3. Ingresar contraseña 4. Iniciar sesión.</t>
  </si>
  <si>
    <t>Redirige al dashboard correspondiente.</t>
  </si>
  <si>
    <t>José Navarro</t>
  </si>
  <si>
    <t>CPMOV-002</t>
  </si>
  <si>
    <t>Validar que el usuario no puede iniciar sesión desde la app con credenciales incorrectas.</t>
  </si>
  <si>
    <t>1.Abrir aplicativo 2. Pantalla login 3. ingresar correo 4. Ingresar clave errónea 5. Iniciar sesión.</t>
  </si>
  <si>
    <t>Muestra mensaje error.</t>
  </si>
  <si>
    <t>Las primeras veces no mostraba el mensaje a razón de que el mensaje estaba vacío, en caso de fallar 5 veces bloqueo de 15 minutos.</t>
  </si>
  <si>
    <t>CPMOV-003</t>
  </si>
  <si>
    <t>Validar que el usuario puede registrarse desde app.</t>
  </si>
  <si>
    <t>APK instalado en dispositivo, botón registrar visible.</t>
  </si>
  <si>
    <t>1.Abrir aplicativo 2. Pantalla login 3. seleccionar registrar 4. Ingresar datos de registro  5. Seleccionar crear cuenta.</t>
  </si>
  <si>
    <t>Muestra mensaje registrado.</t>
  </si>
  <si>
    <t>CPMOV-004</t>
  </si>
  <si>
    <t>Validar que no se puede crear contraseña menor 8 cáracteres</t>
  </si>
  <si>
    <t>1.Abrir aplicativo 2. Pantalla login 3. seleccionar registrar 4. Ingresar datos de registro  5.  Ingresar contraseña &lt;7 cáracteres 6. Seleccionar crear cuenta.</t>
  </si>
  <si>
    <t>CPMOV-005</t>
  </si>
  <si>
    <t>Gestión de citas.</t>
  </si>
  <si>
    <t>Valida que se puede agendar cita</t>
  </si>
  <si>
    <t>APK instalado en dispositivo, usuario creado, docente creado, estudiante creado.</t>
  </si>
  <si>
    <t>Muestra cita agendada</t>
  </si>
  <si>
    <t>Muestra cita agendada.</t>
  </si>
  <si>
    <t>CPMOV-006</t>
  </si>
  <si>
    <t>Valida que se puede cancelar cita</t>
  </si>
  <si>
    <t>APK instalado en dispositivo, usuario creado, docente creado, estudiante creado, cita creada.</t>
  </si>
  <si>
    <t xml:space="preserve">1. Seleccionar cita creada. 2. Seleccionar  cancelar 3. Escribir motivo </t>
  </si>
  <si>
    <t>Muestra cita cancelada y libera cupo.</t>
  </si>
  <si>
    <t>CPMOV-007</t>
  </si>
  <si>
    <t>Valida que se puede visualizar cita</t>
  </si>
  <si>
    <t>1. Seleccionar cita creada 2. Visualizar.</t>
  </si>
  <si>
    <t>Deja visualizar detalles cita.</t>
  </si>
  <si>
    <t>CPMOV-008</t>
  </si>
  <si>
    <t xml:space="preserve">Verifica que los textos son legibles en diferentes pantallas. </t>
  </si>
  <si>
    <t xml:space="preserve">APK instalado en dispositivos con tamaño 5, 6.5, 7 </t>
  </si>
  <si>
    <t xml:space="preserve">1. Abrir aplicativo en dispositivo (5'') navegar pantallas 2. Verificar fuente 3. Repetir dispositivo (6.5'') 4. Repetir dispositivo (7''). </t>
  </si>
  <si>
    <t>Texto legible</t>
  </si>
  <si>
    <t>CPMOV-009</t>
  </si>
  <si>
    <t xml:space="preserve">Verifica que los botones se adaptan </t>
  </si>
  <si>
    <t xml:space="preserve">1. Abrir aplicativo en dispositivo (5'') navegar pantallas 2. Verificar botones 3. Repetir dispositivo (6.5'') 4. Repetir dispositivo (7''). </t>
  </si>
  <si>
    <t>Botones no hay overflow</t>
  </si>
  <si>
    <t>CPMOV-010</t>
  </si>
  <si>
    <t>Verifica que el aplicativo no gasta batería en exceso.</t>
  </si>
  <si>
    <t>1. Usa el aplicativo durante 20 minutos 2. Compara bateria antes y despues</t>
  </si>
  <si>
    <t>No hay consumo anormal</t>
  </si>
  <si>
    <r>
      <t>CP-HC-007/008/009 — Control de acceso a historias clínicas</t>
    </r>
    <r>
      <rPr>
        <sz val="10"/>
        <rFont val="Verdana"/>
        <charset val="1"/>
      </rPr>
      <t> </t>
    </r>
  </si>
  <si>
    <t>CP-HC-011 — HTTPS en producción </t>
  </si>
  <si>
    <t>CP-HC-013 — Auditoría de acceso a historias clínicas </t>
  </si>
  <si>
    <t>CP-HC-016/017 — Consentimiento informado y firma digital </t>
  </si>
  <si>
    <t>CP-HC-022 — Exportación de historia clínica a PDF </t>
  </si>
  <si>
    <t>Ana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</si>
</sst>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b/>
      <sz val="18"/>
      <color rgb="FF1F4E78"/>
      <name val="Calibri"/>
    </font>
    <font>
      <i/>
      <sz val="12"/>
      <name val="Calibri"/>
    </font>
    <font>
      <sz val="36"/>
      <color theme="1"/>
      <name val="Calibri"/>
      <family val="2"/>
      <scheme val="minor"/>
    </font>
    <font>
      <sz val="10"/>
      <name val="Verdana"/>
      <charset val="1"/>
    </font>
    <font>
      <i/>
      <sz val="10"/>
      <name val="Verdana"/>
      <charset val="1"/>
    </font>
    <font>
      <sz val="10"/>
      <color rgb="FF003399"/>
      <name val="Verdana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wrapText="1"/>
    </xf>
    <xf numFmtId="0" fontId="2" fillId="3" borderId="9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0" fillId="0" borderId="5" xfId="0" applyBorder="1"/>
    <xf numFmtId="0" fontId="10" fillId="0" borderId="1" xfId="0" applyFont="1" applyBorder="1"/>
    <xf numFmtId="164" fontId="1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Pruebas Pasa vs Falla - Iteración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Dashboard_It1!$C$5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98-468D-B5BA-82E8A9FD68F3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98-468D-B5BA-82E8A9FD68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Dashboard_It1!$B$6:$B$7</c:f>
              <c:strCache>
                <c:ptCount val="2"/>
                <c:pt idx="0">
                  <c:v>Pasa</c:v>
                </c:pt>
                <c:pt idx="1">
                  <c:v>Falla</c:v>
                </c:pt>
              </c:strCache>
            </c:strRef>
          </c:cat>
          <c:val>
            <c:numRef>
              <c:f>Dashboard_It1!$C$6:$C$7</c:f>
              <c:numCache>
                <c:formatCode>General</c:formatCode>
                <c:ptCount val="2"/>
                <c:pt idx="0">
                  <c:v>16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8-468D-B5BA-82E8A9FD6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99272"/>
        <c:axId val="169101320"/>
      </c:barChart>
      <c:catAx>
        <c:axId val="16909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1320"/>
        <c:crosses val="autoZero"/>
        <c:auto val="1"/>
        <c:lblAlgn val="ctr"/>
        <c:lblOffset val="100"/>
        <c:noMultiLvlLbl val="0"/>
      </c:catAx>
      <c:valAx>
        <c:axId val="16910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Pruebas Pasa vs Falla - Iteración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Dashboard_It2!$C$5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F-4089-AD2A-B3FB893871E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9F-4089-AD2A-B3FB893871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Dashboard_It2!$B$6:$B$7</c:f>
              <c:strCache>
                <c:ptCount val="2"/>
                <c:pt idx="0">
                  <c:v>Pasa</c:v>
                </c:pt>
                <c:pt idx="1">
                  <c:v>Falla</c:v>
                </c:pt>
              </c:strCache>
            </c:strRef>
          </c:cat>
          <c:val>
            <c:numRef>
              <c:f>Dashboard_It2!$C$6:$C$7</c:f>
              <c:numCache>
                <c:formatCode>General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F-4089-AD2A-B3FB89387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4888"/>
        <c:axId val="150080008"/>
      </c:barChart>
      <c:catAx>
        <c:axId val="1439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0008"/>
        <c:crosses val="autoZero"/>
        <c:auto val="1"/>
        <c:lblAlgn val="ctr"/>
        <c:lblOffset val="100"/>
        <c:noMultiLvlLbl val="0"/>
      </c:catAx>
      <c:valAx>
        <c:axId val="15008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Pruebas Pasa vs Falla - Iteración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Dashboard_It3!$C$5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1C-48A7-85C0-0A381F9A5452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81C-48A7-85C0-0A381F9A5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Dashboard_It3!$B$6:$B$7</c:f>
              <c:strCache>
                <c:ptCount val="2"/>
                <c:pt idx="0">
                  <c:v>Pasa</c:v>
                </c:pt>
                <c:pt idx="1">
                  <c:v>Falla</c:v>
                </c:pt>
              </c:strCache>
            </c:strRef>
          </c:cat>
          <c:val>
            <c:numRef>
              <c:f>Dashboard_It3!$C$6:$C$7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C-48A7-85C0-0A381F9A5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647752"/>
        <c:axId val="175686664"/>
      </c:barChart>
      <c:catAx>
        <c:axId val="1756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86664"/>
        <c:crosses val="autoZero"/>
        <c:auto val="1"/>
        <c:lblAlgn val="ctr"/>
        <c:lblOffset val="100"/>
        <c:noMultiLvlLbl val="0"/>
      </c:catAx>
      <c:valAx>
        <c:axId val="17568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4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Pruebas Pasa vs Falla - Iteración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Dashboard_It4!$C$5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6-4D27-B4DD-41E95B56D2A1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76-4D27-B4DD-41E95B56D2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Dashboard_It4!$B$6:$B$7</c:f>
              <c:strCache>
                <c:ptCount val="2"/>
                <c:pt idx="0">
                  <c:v>Pasa</c:v>
                </c:pt>
                <c:pt idx="1">
                  <c:v>Falla</c:v>
                </c:pt>
              </c:strCache>
            </c:strRef>
          </c:cat>
          <c:val>
            <c:numRef>
              <c:f>Dashboard_It4!$C$6:$C$7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6-4D27-B4DD-41E95B56D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69128"/>
        <c:axId val="176284168"/>
      </c:barChart>
      <c:catAx>
        <c:axId val="17606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4168"/>
        <c:crosses val="autoZero"/>
        <c:auto val="1"/>
        <c:lblAlgn val="ctr"/>
        <c:lblOffset val="100"/>
        <c:noMultiLvlLbl val="0"/>
      </c:catAx>
      <c:valAx>
        <c:axId val="17628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GraficoEstado">
          <a:extLst>
            <a:ext uri="{FF2B5EF4-FFF2-40B4-BE49-F238E27FC236}">
              <a16:creationId xmlns:a16="http://schemas.microsoft.com/office/drawing/2014/main" id="{C6776E47-7E29-15B4-3FD0-08BF2EBD0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GraficoEstado">
          <a:extLst>
            <a:ext uri="{FF2B5EF4-FFF2-40B4-BE49-F238E27FC236}">
              <a16:creationId xmlns:a16="http://schemas.microsoft.com/office/drawing/2014/main" id="{77098169-DDB2-A240-C9EB-DDA5A3CC2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GraficoEstado">
          <a:extLst>
            <a:ext uri="{FF2B5EF4-FFF2-40B4-BE49-F238E27FC236}">
              <a16:creationId xmlns:a16="http://schemas.microsoft.com/office/drawing/2014/main" id="{6027EAEB-F4A2-7AB6-E829-6E5463B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GraficoEstado">
          <a:extLst>
            <a:ext uri="{FF2B5EF4-FFF2-40B4-BE49-F238E27FC236}">
              <a16:creationId xmlns:a16="http://schemas.microsoft.com/office/drawing/2014/main" id="{6FE1C84B-CA8B-03BF-6834-EF4E213CA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3B5517-2F86-4CE5-BC0F-7284ED73B748}">
  <we:reference id="WA200009404" version="1.0.0.8" store="es-mx" storeType="omex"/>
  <we:alternateReferences>
    <we:reference id="WA200009404" version="1.0.0.8" store="es-mx" storeType="omex"/>
  </we:alternateReferences>
  <we:properties>
    <we:property name="claude.fileId" value="&quot;2606a34d-30a1-43dc-bfd5-84110664e5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16C4-9E29-4512-8122-59411FA561E1}">
  <dimension ref="A4:Q22"/>
  <sheetViews>
    <sheetView workbookViewId="0">
      <selection activeCell="A4" sqref="A4:M22"/>
    </sheetView>
  </sheetViews>
  <sheetFormatPr defaultRowHeight="14.45"/>
  <sheetData>
    <row r="4" spans="1:17">
      <c r="A4" s="31" t="str">
        <f>"NeoVision Plan de Pruebas"</f>
        <v>NeoVision Plan de Pruebas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O4" s="11" t="s">
        <v>0</v>
      </c>
      <c r="P4" s="9" t="s">
        <v>1</v>
      </c>
      <c r="Q4" s="9"/>
    </row>
    <row r="5" spans="1:17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P5" s="10" t="s">
        <v>2</v>
      </c>
      <c r="Q5" s="9"/>
    </row>
    <row r="6" spans="1:17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O7" t="s">
        <v>3</v>
      </c>
      <c r="P7" t="s">
        <v>4</v>
      </c>
    </row>
    <row r="8" spans="1:17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P8" t="s">
        <v>5</v>
      </c>
    </row>
    <row r="9" spans="1:17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7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O10" t="s">
        <v>6</v>
      </c>
      <c r="P10" t="s">
        <v>7</v>
      </c>
    </row>
    <row r="11" spans="1:17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P11" t="s">
        <v>8</v>
      </c>
    </row>
    <row r="12" spans="1:17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7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O13" t="s">
        <v>9</v>
      </c>
      <c r="P13" t="s">
        <v>10</v>
      </c>
    </row>
    <row r="14" spans="1:17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P14" t="s">
        <v>11</v>
      </c>
    </row>
    <row r="15" spans="1:17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7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</sheetData>
  <mergeCells count="1">
    <mergeCell ref="A4:M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workbookViewId="0">
      <selection activeCell="C8" sqref="C8"/>
    </sheetView>
  </sheetViews>
  <sheetFormatPr defaultRowHeight="14.45"/>
  <cols>
    <col min="2" max="2" width="25" customWidth="1"/>
    <col min="3" max="3" width="15" customWidth="1"/>
  </cols>
  <sheetData>
    <row r="2" spans="2:3" ht="23.45">
      <c r="B2" s="1" t="s">
        <v>12</v>
      </c>
    </row>
    <row r="3" spans="2:3" ht="15.6">
      <c r="B3" s="2" t="s">
        <v>13</v>
      </c>
    </row>
    <row r="5" spans="2:3">
      <c r="B5" s="3" t="s">
        <v>14</v>
      </c>
      <c r="C5" s="3" t="s">
        <v>15</v>
      </c>
    </row>
    <row r="6" spans="2:3">
      <c r="B6" s="4" t="s">
        <v>16</v>
      </c>
      <c r="C6" s="4">
        <f>COUNTIF('Registro de Pruebas_It1'!$H$2:$H$500,"Pasa")</f>
        <v>16</v>
      </c>
    </row>
    <row r="7" spans="2:3">
      <c r="B7" s="34" t="s">
        <v>17</v>
      </c>
      <c r="C7" s="34">
        <f>COUNTIF('Registro de Pruebas_It1'!$H$2:$H$500,"Falla")</f>
        <v>0</v>
      </c>
    </row>
    <row r="8" spans="2:3" ht="15">
      <c r="B8" s="35" t="s">
        <v>18</v>
      </c>
      <c r="C8" s="35">
        <f>SUM(C6:C7)</f>
        <v>16</v>
      </c>
    </row>
    <row r="9" spans="2:3" ht="15">
      <c r="B9" s="35" t="s">
        <v>19</v>
      </c>
      <c r="C9" s="36">
        <f>IF($C$8=0,0,C6/$C$8)</f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C6B2-8BCE-4E69-B599-FF5D916F21B7}">
  <dimension ref="B2:C9"/>
  <sheetViews>
    <sheetView showGridLines="0" workbookViewId="0"/>
  </sheetViews>
  <sheetFormatPr defaultRowHeight="14.45"/>
  <cols>
    <col min="2" max="2" width="25" customWidth="1"/>
    <col min="3" max="3" width="15" customWidth="1"/>
  </cols>
  <sheetData>
    <row r="2" spans="2:3" ht="23.45">
      <c r="B2" s="1" t="s">
        <v>12</v>
      </c>
    </row>
    <row r="3" spans="2:3" ht="15.6">
      <c r="B3" s="2" t="s">
        <v>13</v>
      </c>
    </row>
    <row r="5" spans="2:3">
      <c r="B5" s="3" t="s">
        <v>14</v>
      </c>
      <c r="C5" s="3" t="s">
        <v>15</v>
      </c>
    </row>
    <row r="6" spans="2:3">
      <c r="B6" s="4" t="s">
        <v>16</v>
      </c>
      <c r="C6" s="4">
        <f>COUNTIF('Registro de Pruebas_It2'!$H$2:$H$500,"Pasa")</f>
        <v>12</v>
      </c>
    </row>
    <row r="7" spans="2:3">
      <c r="B7" s="34" t="s">
        <v>17</v>
      </c>
      <c r="C7" s="34">
        <f>COUNTIF('Registro de Pruebas_It2'!$H$2:$H$500,"Falla")</f>
        <v>0</v>
      </c>
    </row>
    <row r="8" spans="2:3" ht="15">
      <c r="B8" s="35" t="s">
        <v>18</v>
      </c>
      <c r="C8" s="35">
        <f>SUM(C6:C7)</f>
        <v>12</v>
      </c>
    </row>
    <row r="9" spans="2:3" ht="15">
      <c r="B9" s="35" t="s">
        <v>19</v>
      </c>
      <c r="C9" s="36">
        <f>IF($C$8=0,0,C6/$C$8)</f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A49A-1E0D-4856-8FD6-734ACE5D0351}">
  <dimension ref="B2:C9"/>
  <sheetViews>
    <sheetView showGridLines="0" workbookViewId="0">
      <selection activeCell="C25" sqref="C25"/>
    </sheetView>
  </sheetViews>
  <sheetFormatPr defaultRowHeight="14.45"/>
  <cols>
    <col min="2" max="2" width="25" customWidth="1"/>
    <col min="3" max="3" width="15" customWidth="1"/>
  </cols>
  <sheetData>
    <row r="2" spans="2:3" ht="23.45">
      <c r="B2" s="1" t="s">
        <v>12</v>
      </c>
    </row>
    <row r="3" spans="2:3" ht="15.6">
      <c r="B3" s="2" t="s">
        <v>13</v>
      </c>
    </row>
    <row r="5" spans="2:3">
      <c r="B5" s="3" t="s">
        <v>14</v>
      </c>
      <c r="C5" s="3" t="s">
        <v>15</v>
      </c>
    </row>
    <row r="6" spans="2:3">
      <c r="B6" s="4" t="s">
        <v>16</v>
      </c>
      <c r="C6" s="4">
        <f>COUNTIF('Registro de Pruebas_It3'!$H$2:$H$500,"Pasa")</f>
        <v>10</v>
      </c>
    </row>
    <row r="7" spans="2:3">
      <c r="B7" s="34" t="s">
        <v>17</v>
      </c>
      <c r="C7" s="34">
        <f>COUNTIF('Registro de Pruebas_It3'!$H$2:$H$500,"Falla")</f>
        <v>0</v>
      </c>
    </row>
    <row r="8" spans="2:3" ht="15">
      <c r="B8" s="35" t="s">
        <v>18</v>
      </c>
      <c r="C8" s="35">
        <f>SUM(C6:C7)</f>
        <v>10</v>
      </c>
    </row>
    <row r="9" spans="2:3" ht="15">
      <c r="B9" s="35" t="s">
        <v>19</v>
      </c>
      <c r="C9" s="36">
        <f>IF($C$8=0,0,C6/$C$8)</f>
        <v>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76C3-837C-4E1E-9019-5AD8CB29F17C}">
  <dimension ref="B2:C9"/>
  <sheetViews>
    <sheetView showGridLines="0" tabSelected="1" workbookViewId="0"/>
  </sheetViews>
  <sheetFormatPr defaultRowHeight="14.45"/>
  <cols>
    <col min="2" max="2" width="25" customWidth="1"/>
    <col min="3" max="3" width="15" customWidth="1"/>
  </cols>
  <sheetData>
    <row r="2" spans="2:3" ht="23.45">
      <c r="B2" s="1" t="s">
        <v>12</v>
      </c>
    </row>
    <row r="3" spans="2:3" ht="15.6">
      <c r="B3" s="2" t="s">
        <v>13</v>
      </c>
    </row>
    <row r="5" spans="2:3">
      <c r="B5" s="3" t="s">
        <v>14</v>
      </c>
      <c r="C5" s="3" t="s">
        <v>15</v>
      </c>
    </row>
    <row r="6" spans="2:3">
      <c r="B6" s="4" t="s">
        <v>16</v>
      </c>
      <c r="C6" s="4">
        <f>COUNTIF('Registro de Pruebas_It4'!$H$2:$H$500,"Pasa")</f>
        <v>0</v>
      </c>
    </row>
    <row r="7" spans="2:3">
      <c r="B7" s="34" t="s">
        <v>17</v>
      </c>
      <c r="C7" s="34">
        <f>COUNTIF('Registro de Pruebas_It4'!$H$2:$H$500,"Falla")</f>
        <v>0</v>
      </c>
    </row>
    <row r="8" spans="2:3" ht="15">
      <c r="B8" s="35" t="s">
        <v>18</v>
      </c>
      <c r="C8" s="35">
        <f>SUM(C6:C7)</f>
        <v>0</v>
      </c>
    </row>
    <row r="9" spans="2:3" ht="15">
      <c r="B9" s="35" t="s">
        <v>19</v>
      </c>
      <c r="C9" s="36">
        <f>IF($C$8=0,0,C6/$C$8)</f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opLeftCell="A11" workbookViewId="0">
      <selection activeCell="F21" sqref="F21"/>
    </sheetView>
  </sheetViews>
  <sheetFormatPr defaultColWidth="9.140625" defaultRowHeight="14.45"/>
  <cols>
    <col min="1" max="1" width="12" style="12" customWidth="1"/>
    <col min="2" max="2" width="22" style="12" customWidth="1"/>
    <col min="3" max="3" width="30" style="12" customWidth="1"/>
    <col min="4" max="4" width="25" style="12" customWidth="1"/>
    <col min="5" max="5" width="35" style="12" customWidth="1"/>
    <col min="6" max="7" width="30" style="12" customWidth="1"/>
    <col min="8" max="8" width="10" style="12" customWidth="1"/>
    <col min="9" max="9" width="22" style="12" customWidth="1"/>
    <col min="10" max="10" width="28" style="12" customWidth="1"/>
    <col min="11" max="16384" width="9.140625" style="12"/>
  </cols>
  <sheetData>
    <row r="1" spans="1:10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14</v>
      </c>
      <c r="I1" s="15" t="s">
        <v>27</v>
      </c>
      <c r="J1" s="15" t="s">
        <v>28</v>
      </c>
    </row>
    <row r="2" spans="1:10" ht="57.95">
      <c r="A2" s="13" t="s">
        <v>29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4" t="s">
        <v>16</v>
      </c>
      <c r="I2" s="13" t="s">
        <v>36</v>
      </c>
      <c r="J2" s="13" t="s">
        <v>37</v>
      </c>
    </row>
    <row r="3" spans="1:10" ht="57.95">
      <c r="A3" s="13" t="s">
        <v>38</v>
      </c>
      <c r="B3" s="13" t="s">
        <v>30</v>
      </c>
      <c r="C3" s="13" t="s">
        <v>39</v>
      </c>
      <c r="D3" s="13" t="s">
        <v>40</v>
      </c>
      <c r="E3" s="13" t="s">
        <v>41</v>
      </c>
      <c r="F3" s="13" t="s">
        <v>42</v>
      </c>
      <c r="G3" s="13" t="s">
        <v>35</v>
      </c>
      <c r="H3" s="14" t="s">
        <v>16</v>
      </c>
      <c r="I3" s="13" t="s">
        <v>36</v>
      </c>
      <c r="J3" s="13" t="s">
        <v>43</v>
      </c>
    </row>
    <row r="4" spans="1:10" ht="43.5">
      <c r="A4" s="13" t="s">
        <v>44</v>
      </c>
      <c r="B4" s="13" t="s">
        <v>30</v>
      </c>
      <c r="C4" s="13" t="s">
        <v>45</v>
      </c>
      <c r="D4" s="13" t="s">
        <v>46</v>
      </c>
      <c r="E4" s="13" t="s">
        <v>47</v>
      </c>
      <c r="F4" s="13" t="s">
        <v>48</v>
      </c>
      <c r="G4" s="13" t="s">
        <v>35</v>
      </c>
      <c r="H4" s="14" t="s">
        <v>16</v>
      </c>
      <c r="I4" s="13" t="s">
        <v>49</v>
      </c>
      <c r="J4" s="13"/>
    </row>
    <row r="5" spans="1:10" ht="43.5">
      <c r="A5" s="13" t="s">
        <v>50</v>
      </c>
      <c r="B5" s="13" t="s">
        <v>30</v>
      </c>
      <c r="C5" s="13" t="s">
        <v>51</v>
      </c>
      <c r="D5" s="13" t="s">
        <v>52</v>
      </c>
      <c r="E5" s="13" t="s">
        <v>53</v>
      </c>
      <c r="F5" s="13" t="s">
        <v>54</v>
      </c>
      <c r="G5" s="13" t="s">
        <v>35</v>
      </c>
      <c r="H5" s="14" t="s">
        <v>16</v>
      </c>
      <c r="I5" s="13" t="s">
        <v>49</v>
      </c>
      <c r="J5" s="13"/>
    </row>
    <row r="6" spans="1:10" ht="57.95">
      <c r="A6" s="13" t="s">
        <v>55</v>
      </c>
      <c r="B6" s="13" t="s">
        <v>30</v>
      </c>
      <c r="C6" s="13" t="s">
        <v>56</v>
      </c>
      <c r="D6" s="13" t="s">
        <v>57</v>
      </c>
      <c r="E6" s="13" t="s">
        <v>58</v>
      </c>
      <c r="F6" s="13" t="s">
        <v>54</v>
      </c>
      <c r="G6" s="13" t="s">
        <v>35</v>
      </c>
      <c r="H6" s="14" t="s">
        <v>16</v>
      </c>
      <c r="I6" s="13" t="s">
        <v>36</v>
      </c>
      <c r="J6" s="13" t="s">
        <v>59</v>
      </c>
    </row>
    <row r="7" spans="1:10" ht="87">
      <c r="A7" s="13" t="s">
        <v>60</v>
      </c>
      <c r="B7" s="13" t="s">
        <v>61</v>
      </c>
      <c r="C7" s="13" t="s">
        <v>62</v>
      </c>
      <c r="D7" s="13" t="s">
        <v>63</v>
      </c>
      <c r="E7" s="13" t="s">
        <v>64</v>
      </c>
      <c r="F7" s="13" t="s">
        <v>65</v>
      </c>
      <c r="G7" s="13" t="s">
        <v>35</v>
      </c>
      <c r="H7" s="14" t="s">
        <v>16</v>
      </c>
      <c r="I7" s="13" t="s">
        <v>66</v>
      </c>
      <c r="J7" s="13" t="s">
        <v>67</v>
      </c>
    </row>
    <row r="8" spans="1:10" ht="72.599999999999994">
      <c r="A8" s="13" t="s">
        <v>68</v>
      </c>
      <c r="B8" s="13" t="s">
        <v>61</v>
      </c>
      <c r="C8" s="13" t="s">
        <v>69</v>
      </c>
      <c r="D8" s="13" t="s">
        <v>63</v>
      </c>
      <c r="E8" s="13" t="s">
        <v>70</v>
      </c>
      <c r="F8" s="13" t="s">
        <v>71</v>
      </c>
      <c r="G8" s="13" t="s">
        <v>35</v>
      </c>
      <c r="H8" s="14" t="s">
        <v>16</v>
      </c>
      <c r="I8" s="13" t="s">
        <v>66</v>
      </c>
      <c r="J8" s="13" t="s">
        <v>72</v>
      </c>
    </row>
    <row r="9" spans="1:10" ht="101.45">
      <c r="A9" s="13" t="s">
        <v>73</v>
      </c>
      <c r="B9" s="13" t="s">
        <v>61</v>
      </c>
      <c r="C9" s="13" t="s">
        <v>74</v>
      </c>
      <c r="D9" s="13" t="s">
        <v>63</v>
      </c>
      <c r="E9" s="13" t="s">
        <v>75</v>
      </c>
      <c r="F9" s="13" t="s">
        <v>71</v>
      </c>
      <c r="G9" s="13" t="s">
        <v>35</v>
      </c>
      <c r="H9" s="14" t="s">
        <v>16</v>
      </c>
      <c r="I9" s="13" t="s">
        <v>66</v>
      </c>
      <c r="J9" s="13" t="s">
        <v>76</v>
      </c>
    </row>
    <row r="10" spans="1:10" ht="87">
      <c r="A10" s="13" t="s">
        <v>77</v>
      </c>
      <c r="B10" s="13" t="s">
        <v>78</v>
      </c>
      <c r="C10" s="13" t="s">
        <v>79</v>
      </c>
      <c r="D10" s="13" t="s">
        <v>80</v>
      </c>
      <c r="E10" s="13" t="s">
        <v>81</v>
      </c>
      <c r="F10" s="13" t="s">
        <v>82</v>
      </c>
      <c r="G10" s="13" t="s">
        <v>35</v>
      </c>
      <c r="H10" s="14" t="s">
        <v>16</v>
      </c>
      <c r="I10" s="13" t="s">
        <v>36</v>
      </c>
      <c r="J10" s="13" t="s">
        <v>83</v>
      </c>
    </row>
    <row r="11" spans="1:10" ht="72.599999999999994">
      <c r="A11" s="13" t="s">
        <v>84</v>
      </c>
      <c r="B11" s="16" t="s">
        <v>78</v>
      </c>
      <c r="C11" s="17" t="s">
        <v>85</v>
      </c>
      <c r="D11" s="17" t="s">
        <v>86</v>
      </c>
      <c r="E11" s="17" t="s">
        <v>87</v>
      </c>
      <c r="F11" s="16" t="s">
        <v>88</v>
      </c>
      <c r="G11" s="16" t="s">
        <v>35</v>
      </c>
      <c r="H11" s="18" t="s">
        <v>16</v>
      </c>
      <c r="I11" s="16" t="s">
        <v>36</v>
      </c>
      <c r="J11" s="17"/>
    </row>
    <row r="12" spans="1:10" ht="43.5">
      <c r="A12" s="13" t="s">
        <v>89</v>
      </c>
      <c r="B12" s="16" t="s">
        <v>78</v>
      </c>
      <c r="C12" s="17" t="s">
        <v>90</v>
      </c>
      <c r="D12" s="17" t="s">
        <v>91</v>
      </c>
      <c r="E12" s="17" t="s">
        <v>92</v>
      </c>
      <c r="F12" s="16" t="s">
        <v>88</v>
      </c>
      <c r="G12" s="16" t="s">
        <v>35</v>
      </c>
      <c r="H12" s="18" t="s">
        <v>16</v>
      </c>
      <c r="I12" s="16" t="s">
        <v>49</v>
      </c>
      <c r="J12" s="17" t="s">
        <v>93</v>
      </c>
    </row>
    <row r="13" spans="1:10" ht="101.45">
      <c r="A13" s="19" t="s">
        <v>94</v>
      </c>
      <c r="B13" s="20" t="s">
        <v>78</v>
      </c>
      <c r="C13" s="20" t="s">
        <v>95</v>
      </c>
      <c r="D13" s="20" t="s">
        <v>96</v>
      </c>
      <c r="E13" s="21" t="s">
        <v>97</v>
      </c>
      <c r="F13" s="20" t="s">
        <v>88</v>
      </c>
      <c r="G13" s="20" t="s">
        <v>35</v>
      </c>
      <c r="H13" s="22" t="s">
        <v>16</v>
      </c>
      <c r="I13" s="20" t="s">
        <v>49</v>
      </c>
      <c r="J13" s="21"/>
    </row>
    <row r="14" spans="1:10" ht="72.599999999999994">
      <c r="A14" s="19" t="s">
        <v>98</v>
      </c>
      <c r="B14" s="20" t="s">
        <v>99</v>
      </c>
      <c r="C14" s="20" t="s">
        <v>100</v>
      </c>
      <c r="D14" s="20" t="s">
        <v>101</v>
      </c>
      <c r="E14" s="21" t="s">
        <v>102</v>
      </c>
      <c r="F14" s="20" t="s">
        <v>103</v>
      </c>
      <c r="G14" s="20" t="s">
        <v>104</v>
      </c>
      <c r="H14" s="18" t="s">
        <v>16</v>
      </c>
      <c r="I14" s="20" t="s">
        <v>36</v>
      </c>
      <c r="J14" s="23"/>
    </row>
    <row r="15" spans="1:10" ht="72.599999999999994">
      <c r="A15" s="19" t="s">
        <v>105</v>
      </c>
      <c r="B15" s="20" t="s">
        <v>99</v>
      </c>
      <c r="C15" s="20" t="s">
        <v>106</v>
      </c>
      <c r="D15" s="20" t="s">
        <v>101</v>
      </c>
      <c r="E15" s="21" t="s">
        <v>107</v>
      </c>
      <c r="F15" s="20" t="s">
        <v>108</v>
      </c>
      <c r="G15" s="20" t="s">
        <v>104</v>
      </c>
      <c r="H15" s="18" t="s">
        <v>16</v>
      </c>
      <c r="I15" s="20" t="s">
        <v>36</v>
      </c>
      <c r="J15" s="23"/>
    </row>
    <row r="16" spans="1:10" ht="57.95">
      <c r="A16" s="19" t="s">
        <v>109</v>
      </c>
      <c r="B16" s="20" t="s">
        <v>99</v>
      </c>
      <c r="C16" s="20" t="s">
        <v>110</v>
      </c>
      <c r="D16" s="20" t="s">
        <v>111</v>
      </c>
      <c r="E16" s="21" t="s">
        <v>112</v>
      </c>
      <c r="F16" s="20" t="s">
        <v>113</v>
      </c>
      <c r="G16" s="20" t="s">
        <v>104</v>
      </c>
      <c r="H16" s="22" t="s">
        <v>16</v>
      </c>
      <c r="I16" s="20" t="s">
        <v>66</v>
      </c>
      <c r="J16" s="24"/>
    </row>
    <row r="17" spans="1:10" ht="43.5">
      <c r="A17" s="19" t="s">
        <v>114</v>
      </c>
      <c r="B17" s="20" t="s">
        <v>99</v>
      </c>
      <c r="C17" s="20" t="s">
        <v>115</v>
      </c>
      <c r="D17" s="20" t="s">
        <v>111</v>
      </c>
      <c r="E17" s="21" t="s">
        <v>116</v>
      </c>
      <c r="F17" s="20" t="s">
        <v>117</v>
      </c>
      <c r="G17" s="20" t="s">
        <v>35</v>
      </c>
      <c r="H17" s="18" t="s">
        <v>16</v>
      </c>
      <c r="I17" s="20" t="s">
        <v>36</v>
      </c>
      <c r="J17" s="2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475B-BED5-4AFA-9823-21AC41E91368}">
  <dimension ref="A1:J14"/>
  <sheetViews>
    <sheetView workbookViewId="0">
      <selection activeCell="C2" sqref="C2"/>
    </sheetView>
  </sheetViews>
  <sheetFormatPr defaultRowHeight="14.45"/>
  <cols>
    <col min="1" max="1" width="12" customWidth="1"/>
    <col min="2" max="2" width="22" customWidth="1"/>
    <col min="3" max="3" width="30" style="12" customWidth="1"/>
    <col min="4" max="4" width="25" style="12" customWidth="1"/>
    <col min="5" max="5" width="35" style="12" customWidth="1"/>
    <col min="6" max="6" width="30" style="12" customWidth="1"/>
    <col min="7" max="7" width="30" customWidth="1"/>
    <col min="8" max="8" width="10" customWidth="1"/>
    <col min="9" max="9" width="22" customWidth="1"/>
    <col min="10" max="10" width="28" customWidth="1"/>
  </cols>
  <sheetData>
    <row r="1" spans="1:10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14</v>
      </c>
      <c r="I1" s="5" t="s">
        <v>27</v>
      </c>
      <c r="J1" s="5" t="s">
        <v>28</v>
      </c>
    </row>
    <row r="2" spans="1:10" ht="137.25" customHeight="1">
      <c r="A2" s="6" t="s">
        <v>118</v>
      </c>
      <c r="B2" s="6" t="s">
        <v>119</v>
      </c>
      <c r="C2" s="6" t="s">
        <v>120</v>
      </c>
      <c r="D2" s="6" t="s">
        <v>121</v>
      </c>
      <c r="E2" s="6" t="s">
        <v>122</v>
      </c>
      <c r="F2" s="6" t="s">
        <v>123</v>
      </c>
      <c r="G2" s="6" t="s">
        <v>124</v>
      </c>
      <c r="H2" s="7" t="s">
        <v>16</v>
      </c>
      <c r="I2" s="6" t="s">
        <v>125</v>
      </c>
      <c r="J2" s="6" t="s">
        <v>126</v>
      </c>
    </row>
    <row r="3" spans="1:10" ht="130.5">
      <c r="A3" s="6" t="s">
        <v>127</v>
      </c>
      <c r="B3" s="6" t="s">
        <v>119</v>
      </c>
      <c r="C3" s="6" t="s">
        <v>128</v>
      </c>
      <c r="D3" s="6" t="s">
        <v>121</v>
      </c>
      <c r="E3" s="6" t="s">
        <v>129</v>
      </c>
      <c r="F3" s="29" t="s">
        <v>130</v>
      </c>
      <c r="G3" s="29" t="s">
        <v>131</v>
      </c>
      <c r="H3" s="7" t="s">
        <v>16</v>
      </c>
      <c r="I3" s="6" t="s">
        <v>132</v>
      </c>
      <c r="J3" s="6"/>
    </row>
    <row r="4" spans="1:10" ht="57.95">
      <c r="A4" s="6" t="s">
        <v>133</v>
      </c>
      <c r="B4" s="6" t="s">
        <v>119</v>
      </c>
      <c r="C4" s="6" t="s">
        <v>134</v>
      </c>
      <c r="D4" s="6" t="s">
        <v>135</v>
      </c>
      <c r="E4" s="6" t="s">
        <v>136</v>
      </c>
      <c r="F4" s="6" t="s">
        <v>137</v>
      </c>
      <c r="G4" s="6" t="s">
        <v>138</v>
      </c>
      <c r="H4" s="7" t="s">
        <v>16</v>
      </c>
      <c r="I4" s="6" t="s">
        <v>66</v>
      </c>
      <c r="J4" s="6"/>
    </row>
    <row r="5" spans="1:10" ht="72.599999999999994">
      <c r="A5" s="6" t="s">
        <v>139</v>
      </c>
      <c r="B5" s="6" t="s">
        <v>119</v>
      </c>
      <c r="C5" s="6" t="s">
        <v>140</v>
      </c>
      <c r="D5" s="6" t="s">
        <v>135</v>
      </c>
      <c r="E5" s="6" t="s">
        <v>141</v>
      </c>
      <c r="F5" s="29" t="s">
        <v>142</v>
      </c>
      <c r="G5" s="29" t="s">
        <v>143</v>
      </c>
      <c r="H5" s="7" t="s">
        <v>16</v>
      </c>
      <c r="I5" s="6" t="s">
        <v>125</v>
      </c>
      <c r="J5" s="6"/>
    </row>
    <row r="6" spans="1:10" ht="57.95">
      <c r="A6" s="6" t="s">
        <v>144</v>
      </c>
      <c r="B6" s="6" t="s">
        <v>119</v>
      </c>
      <c r="C6" s="6" t="s">
        <v>145</v>
      </c>
      <c r="D6" s="6" t="s">
        <v>146</v>
      </c>
      <c r="E6" s="6" t="s">
        <v>147</v>
      </c>
      <c r="F6" s="6" t="s">
        <v>148</v>
      </c>
      <c r="G6" s="6" t="s">
        <v>149</v>
      </c>
      <c r="H6" s="7" t="s">
        <v>16</v>
      </c>
      <c r="I6" s="6" t="s">
        <v>66</v>
      </c>
      <c r="J6" s="6"/>
    </row>
    <row r="7" spans="1:10" ht="43.5">
      <c r="A7" s="6" t="s">
        <v>150</v>
      </c>
      <c r="B7" s="6" t="s">
        <v>119</v>
      </c>
      <c r="C7" s="6" t="s">
        <v>151</v>
      </c>
      <c r="D7" s="6" t="s">
        <v>121</v>
      </c>
      <c r="E7" s="6" t="s">
        <v>152</v>
      </c>
      <c r="F7" s="29" t="s">
        <v>153</v>
      </c>
      <c r="G7" s="29" t="s">
        <v>154</v>
      </c>
      <c r="H7" s="7" t="s">
        <v>16</v>
      </c>
      <c r="I7" s="6" t="s">
        <v>132</v>
      </c>
      <c r="J7" s="6"/>
    </row>
    <row r="8" spans="1:10" ht="43.5">
      <c r="A8" s="6" t="s">
        <v>155</v>
      </c>
      <c r="B8" s="6" t="s">
        <v>119</v>
      </c>
      <c r="C8" s="6" t="s">
        <v>156</v>
      </c>
      <c r="D8" s="6" t="s">
        <v>121</v>
      </c>
      <c r="E8" s="6" t="s">
        <v>157</v>
      </c>
      <c r="F8" s="6" t="s">
        <v>158</v>
      </c>
      <c r="G8" s="6" t="s">
        <v>159</v>
      </c>
      <c r="H8" s="7" t="s">
        <v>16</v>
      </c>
      <c r="I8" s="6" t="s">
        <v>125</v>
      </c>
      <c r="J8" s="6"/>
    </row>
    <row r="9" spans="1:10" ht="72.599999999999994">
      <c r="A9" s="6" t="s">
        <v>160</v>
      </c>
      <c r="B9" s="6" t="s">
        <v>119</v>
      </c>
      <c r="C9" s="6" t="s">
        <v>161</v>
      </c>
      <c r="D9" s="6" t="s">
        <v>135</v>
      </c>
      <c r="E9" s="6" t="s">
        <v>162</v>
      </c>
      <c r="F9" s="29" t="s">
        <v>163</v>
      </c>
      <c r="G9" s="29" t="s">
        <v>164</v>
      </c>
      <c r="H9" s="7" t="s">
        <v>16</v>
      </c>
      <c r="I9" s="6" t="s">
        <v>125</v>
      </c>
      <c r="J9" s="6"/>
    </row>
    <row r="10" spans="1:10" ht="57.95">
      <c r="A10" s="6" t="s">
        <v>165</v>
      </c>
      <c r="B10" s="6" t="s">
        <v>119</v>
      </c>
      <c r="C10" s="6" t="s">
        <v>166</v>
      </c>
      <c r="D10" s="6" t="s">
        <v>135</v>
      </c>
      <c r="E10" s="6" t="s">
        <v>167</v>
      </c>
      <c r="F10" s="6" t="s">
        <v>168</v>
      </c>
      <c r="G10" s="6" t="s">
        <v>169</v>
      </c>
      <c r="H10" s="7" t="s">
        <v>16</v>
      </c>
      <c r="I10" s="6" t="s">
        <v>66</v>
      </c>
      <c r="J10" s="6"/>
    </row>
    <row r="11" spans="1:10" ht="43.5">
      <c r="A11" s="6" t="s">
        <v>170</v>
      </c>
      <c r="B11" s="6" t="s">
        <v>119</v>
      </c>
      <c r="C11" s="6" t="s">
        <v>171</v>
      </c>
      <c r="D11" s="6" t="s">
        <v>121</v>
      </c>
      <c r="E11" s="6" t="s">
        <v>172</v>
      </c>
      <c r="F11" s="29" t="s">
        <v>173</v>
      </c>
      <c r="G11" s="29" t="s">
        <v>173</v>
      </c>
      <c r="H11" s="7" t="s">
        <v>16</v>
      </c>
      <c r="I11" s="6" t="s">
        <v>66</v>
      </c>
      <c r="J11" s="6"/>
    </row>
    <row r="12" spans="1:10" ht="43.5">
      <c r="A12" s="6" t="s">
        <v>174</v>
      </c>
      <c r="B12" s="6" t="s">
        <v>119</v>
      </c>
      <c r="C12" s="6" t="s">
        <v>175</v>
      </c>
      <c r="D12" s="6" t="s">
        <v>121</v>
      </c>
      <c r="E12" s="6" t="s">
        <v>176</v>
      </c>
      <c r="F12" s="6" t="s">
        <v>168</v>
      </c>
      <c r="G12" s="6" t="s">
        <v>169</v>
      </c>
      <c r="H12" s="7" t="s">
        <v>16</v>
      </c>
      <c r="I12" s="6" t="s">
        <v>125</v>
      </c>
      <c r="J12" s="6"/>
    </row>
    <row r="13" spans="1:10" ht="43.5">
      <c r="A13" s="6" t="s">
        <v>177</v>
      </c>
      <c r="B13" s="6" t="s">
        <v>119</v>
      </c>
      <c r="C13" s="6" t="s">
        <v>178</v>
      </c>
      <c r="D13" s="6" t="s">
        <v>179</v>
      </c>
      <c r="E13" s="6" t="s">
        <v>147</v>
      </c>
      <c r="F13" s="29" t="s">
        <v>180</v>
      </c>
      <c r="G13" s="29" t="s">
        <v>180</v>
      </c>
      <c r="H13" s="7" t="s">
        <v>16</v>
      </c>
      <c r="I13" s="6" t="s">
        <v>125</v>
      </c>
      <c r="J13" s="6"/>
    </row>
    <row r="14" spans="1:10">
      <c r="A14" s="25"/>
      <c r="B14" s="26"/>
      <c r="C14" s="27"/>
      <c r="H14" s="2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A0AB-68E4-46CB-B569-BC8087D58976}">
  <dimension ref="A1:J11"/>
  <sheetViews>
    <sheetView workbookViewId="0">
      <selection activeCell="J1" sqref="J1"/>
    </sheetView>
  </sheetViews>
  <sheetFormatPr defaultColWidth="8.7109375" defaultRowHeight="14.45"/>
  <cols>
    <col min="1" max="1" width="12" style="12" customWidth="1"/>
    <col min="2" max="2" width="22" style="12" customWidth="1"/>
    <col min="3" max="3" width="30" style="12" customWidth="1"/>
    <col min="4" max="4" width="25" style="12" customWidth="1"/>
    <col min="5" max="5" width="35" style="12" customWidth="1"/>
    <col min="6" max="7" width="30" style="12" customWidth="1"/>
    <col min="8" max="8" width="10" style="12" customWidth="1"/>
    <col min="9" max="9" width="22" style="12" customWidth="1"/>
    <col min="10" max="10" width="28" style="12" customWidth="1"/>
    <col min="11" max="16384" width="8.7109375" style="12"/>
  </cols>
  <sheetData>
    <row r="1" spans="1:10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14</v>
      </c>
      <c r="I1" s="5" t="s">
        <v>27</v>
      </c>
      <c r="J1" s="5" t="s">
        <v>28</v>
      </c>
    </row>
    <row r="2" spans="1:10" ht="43.5">
      <c r="A2" s="6" t="s">
        <v>181</v>
      </c>
      <c r="B2" s="6" t="s">
        <v>182</v>
      </c>
      <c r="C2" s="6" t="s">
        <v>183</v>
      </c>
      <c r="D2" s="6" t="s">
        <v>184</v>
      </c>
      <c r="E2" s="6" t="s">
        <v>185</v>
      </c>
      <c r="F2" s="6" t="s">
        <v>186</v>
      </c>
      <c r="G2" s="6" t="s">
        <v>186</v>
      </c>
      <c r="H2" s="7" t="s">
        <v>16</v>
      </c>
      <c r="I2" s="6" t="s">
        <v>187</v>
      </c>
      <c r="J2" s="6" t="s">
        <v>126</v>
      </c>
    </row>
    <row r="3" spans="1:10" ht="72.599999999999994">
      <c r="A3" s="6" t="s">
        <v>188</v>
      </c>
      <c r="B3" s="6" t="s">
        <v>182</v>
      </c>
      <c r="C3" s="6" t="s">
        <v>189</v>
      </c>
      <c r="D3" s="6" t="s">
        <v>184</v>
      </c>
      <c r="E3" s="6" t="s">
        <v>190</v>
      </c>
      <c r="F3" s="6" t="s">
        <v>191</v>
      </c>
      <c r="G3" s="6" t="s">
        <v>191</v>
      </c>
      <c r="H3" s="7" t="s">
        <v>16</v>
      </c>
      <c r="I3" s="6" t="s">
        <v>187</v>
      </c>
      <c r="J3" s="6" t="s">
        <v>192</v>
      </c>
    </row>
    <row r="4" spans="1:10" ht="43.5">
      <c r="A4" s="6" t="s">
        <v>193</v>
      </c>
      <c r="B4" s="6" t="s">
        <v>182</v>
      </c>
      <c r="C4" s="6" t="s">
        <v>194</v>
      </c>
      <c r="D4" s="6" t="s">
        <v>195</v>
      </c>
      <c r="E4" s="6" t="s">
        <v>196</v>
      </c>
      <c r="F4" s="6" t="s">
        <v>197</v>
      </c>
      <c r="G4" s="6" t="s">
        <v>197</v>
      </c>
      <c r="H4" s="7" t="s">
        <v>16</v>
      </c>
      <c r="I4" s="6" t="s">
        <v>66</v>
      </c>
      <c r="J4" s="6"/>
    </row>
    <row r="5" spans="1:10" ht="57.95">
      <c r="A5" s="6" t="s">
        <v>198</v>
      </c>
      <c r="B5" s="6" t="s">
        <v>182</v>
      </c>
      <c r="C5" s="6" t="s">
        <v>199</v>
      </c>
      <c r="D5" s="6" t="s">
        <v>195</v>
      </c>
      <c r="E5" s="6" t="s">
        <v>200</v>
      </c>
      <c r="F5" s="6" t="s">
        <v>191</v>
      </c>
      <c r="G5" s="6" t="s">
        <v>191</v>
      </c>
      <c r="H5" s="7" t="s">
        <v>16</v>
      </c>
      <c r="I5" s="6" t="s">
        <v>49</v>
      </c>
      <c r="J5" s="6"/>
    </row>
    <row r="6" spans="1:10" ht="43.5">
      <c r="A6" s="6" t="s">
        <v>201</v>
      </c>
      <c r="B6" s="6" t="s">
        <v>202</v>
      </c>
      <c r="C6" s="6" t="s">
        <v>203</v>
      </c>
      <c r="D6" s="6" t="s">
        <v>204</v>
      </c>
      <c r="E6" s="6" t="s">
        <v>152</v>
      </c>
      <c r="F6" s="6" t="s">
        <v>205</v>
      </c>
      <c r="G6" s="6" t="s">
        <v>206</v>
      </c>
      <c r="H6" s="7" t="s">
        <v>16</v>
      </c>
      <c r="I6" s="6" t="s">
        <v>187</v>
      </c>
      <c r="J6" s="6"/>
    </row>
    <row r="7" spans="1:10" ht="57.95">
      <c r="A7" s="30" t="s">
        <v>207</v>
      </c>
      <c r="B7" s="6" t="s">
        <v>202</v>
      </c>
      <c r="C7" s="6" t="s">
        <v>208</v>
      </c>
      <c r="D7" s="6" t="s">
        <v>209</v>
      </c>
      <c r="E7" s="6" t="s">
        <v>210</v>
      </c>
      <c r="F7" s="6" t="s">
        <v>211</v>
      </c>
      <c r="G7" s="6" t="s">
        <v>211</v>
      </c>
      <c r="H7" s="7" t="s">
        <v>16</v>
      </c>
      <c r="I7" s="6" t="s">
        <v>187</v>
      </c>
      <c r="J7" s="6"/>
    </row>
    <row r="8" spans="1:10" ht="57.95">
      <c r="A8" s="13" t="s">
        <v>212</v>
      </c>
      <c r="B8" s="6" t="s">
        <v>202</v>
      </c>
      <c r="C8" s="6" t="s">
        <v>213</v>
      </c>
      <c r="D8" s="6" t="s">
        <v>209</v>
      </c>
      <c r="E8" s="6" t="s">
        <v>214</v>
      </c>
      <c r="F8" s="6" t="s">
        <v>215</v>
      </c>
      <c r="G8" s="6" t="s">
        <v>215</v>
      </c>
      <c r="H8" s="7" t="s">
        <v>16</v>
      </c>
      <c r="I8" s="6" t="s">
        <v>66</v>
      </c>
      <c r="J8" s="6"/>
    </row>
    <row r="9" spans="1:10" ht="57.95">
      <c r="A9" s="13" t="s">
        <v>216</v>
      </c>
      <c r="B9" s="6" t="s">
        <v>202</v>
      </c>
      <c r="C9" s="6" t="s">
        <v>217</v>
      </c>
      <c r="D9" s="6" t="s">
        <v>218</v>
      </c>
      <c r="E9" s="6" t="s">
        <v>219</v>
      </c>
      <c r="F9" s="6" t="s">
        <v>220</v>
      </c>
      <c r="G9" s="6" t="s">
        <v>220</v>
      </c>
      <c r="H9" s="7" t="s">
        <v>16</v>
      </c>
      <c r="I9" s="6" t="s">
        <v>49</v>
      </c>
      <c r="J9" s="6"/>
    </row>
    <row r="10" spans="1:10" ht="57.95">
      <c r="A10" s="13" t="s">
        <v>221</v>
      </c>
      <c r="B10" s="6" t="s">
        <v>202</v>
      </c>
      <c r="C10" s="6" t="s">
        <v>222</v>
      </c>
      <c r="D10" s="6" t="s">
        <v>218</v>
      </c>
      <c r="E10" s="6" t="s">
        <v>223</v>
      </c>
      <c r="F10" s="6" t="s">
        <v>224</v>
      </c>
      <c r="G10" s="6" t="s">
        <v>224</v>
      </c>
      <c r="H10" s="7" t="s">
        <v>16</v>
      </c>
      <c r="I10" s="6" t="s">
        <v>66</v>
      </c>
      <c r="J10" s="6"/>
    </row>
    <row r="11" spans="1:10" ht="43.5">
      <c r="A11" s="13" t="s">
        <v>225</v>
      </c>
      <c r="B11" s="6" t="s">
        <v>202</v>
      </c>
      <c r="C11" s="6" t="s">
        <v>226</v>
      </c>
      <c r="D11" s="6" t="s">
        <v>218</v>
      </c>
      <c r="E11" s="6" t="s">
        <v>227</v>
      </c>
      <c r="F11" s="6" t="s">
        <v>228</v>
      </c>
      <c r="G11" s="6" t="s">
        <v>228</v>
      </c>
      <c r="H11" s="7" t="s">
        <v>16</v>
      </c>
      <c r="I11" s="6" t="s">
        <v>187</v>
      </c>
      <c r="J11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BBE8-49B8-414B-BDD9-72B5B8CB4627}">
  <dimension ref="A1:J6"/>
  <sheetViews>
    <sheetView workbookViewId="0">
      <selection activeCell="A5" sqref="A5"/>
    </sheetView>
  </sheetViews>
  <sheetFormatPr defaultRowHeight="15"/>
  <cols>
    <col min="2" max="2" width="18.140625" customWidth="1"/>
    <col min="3" max="3" width="26" customWidth="1"/>
    <col min="5" max="5" width="19.7109375" customWidth="1"/>
    <col min="6" max="7" width="11.5703125" customWidth="1"/>
  </cols>
  <sheetData>
    <row r="1" spans="1:10" ht="60.7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14</v>
      </c>
      <c r="I1" s="5" t="s">
        <v>27</v>
      </c>
      <c r="J1" s="5" t="s">
        <v>28</v>
      </c>
    </row>
    <row r="2" spans="1:10">
      <c r="A2" s="32" t="s">
        <v>229</v>
      </c>
    </row>
    <row r="3" spans="1:10">
      <c r="A3" s="33" t="s">
        <v>230</v>
      </c>
    </row>
    <row r="4" spans="1:10">
      <c r="A4" s="33" t="s">
        <v>231</v>
      </c>
    </row>
    <row r="5" spans="1:10">
      <c r="A5" s="33" t="s">
        <v>232</v>
      </c>
    </row>
    <row r="6" spans="1:10">
      <c r="A6" s="33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4BC0-EF46-4F85-9EB1-593A18CFACB3}">
  <dimension ref="A1:J6"/>
  <sheetViews>
    <sheetView topLeftCell="H1" workbookViewId="0">
      <selection activeCell="H1" sqref="H1:J6"/>
    </sheetView>
  </sheetViews>
  <sheetFormatPr defaultRowHeight="14.45"/>
  <cols>
    <col min="1" max="1" width="12" customWidth="1"/>
    <col min="2" max="2" width="22" customWidth="1"/>
    <col min="3" max="3" width="30" customWidth="1"/>
    <col min="4" max="4" width="25" customWidth="1"/>
    <col min="5" max="5" width="35" customWidth="1"/>
    <col min="6" max="7" width="30" customWidth="1"/>
    <col min="8" max="8" width="10" customWidth="1"/>
    <col min="9" max="9" width="22" customWidth="1"/>
    <col min="10" max="10" width="28" customWidth="1"/>
  </cols>
  <sheetData>
    <row r="1" spans="1:10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14</v>
      </c>
      <c r="I1" s="5" t="s">
        <v>27</v>
      </c>
      <c r="J1" s="5" t="s">
        <v>28</v>
      </c>
    </row>
    <row r="2" spans="1:10">
      <c r="A2" s="6" t="s">
        <v>29</v>
      </c>
      <c r="B2" s="6"/>
      <c r="C2" s="6"/>
      <c r="D2" s="6"/>
      <c r="E2" s="6"/>
      <c r="F2" s="6"/>
      <c r="G2" s="6"/>
      <c r="H2" s="7" t="s">
        <v>16</v>
      </c>
      <c r="I2" s="6" t="s">
        <v>234</v>
      </c>
      <c r="J2" s="6" t="s">
        <v>126</v>
      </c>
    </row>
    <row r="3" spans="1:10">
      <c r="A3" s="6" t="s">
        <v>38</v>
      </c>
      <c r="B3" s="6"/>
      <c r="C3" s="6"/>
      <c r="D3" s="6"/>
      <c r="E3" s="6"/>
      <c r="F3" s="6"/>
      <c r="G3" s="6"/>
      <c r="H3" s="8" t="s">
        <v>17</v>
      </c>
      <c r="I3" s="6"/>
      <c r="J3" s="6"/>
    </row>
    <row r="4" spans="1:10">
      <c r="A4" s="6" t="s">
        <v>44</v>
      </c>
      <c r="B4" s="6"/>
      <c r="C4" s="6"/>
      <c r="D4" s="6"/>
      <c r="E4" s="6"/>
      <c r="F4" s="6"/>
      <c r="G4" s="6"/>
      <c r="H4" s="7" t="s">
        <v>16</v>
      </c>
      <c r="I4" s="6"/>
      <c r="J4" s="6"/>
    </row>
    <row r="5" spans="1:10">
      <c r="A5" s="6" t="s">
        <v>50</v>
      </c>
      <c r="B5" s="6"/>
      <c r="C5" s="6"/>
      <c r="D5" s="6"/>
      <c r="E5" s="6"/>
      <c r="F5" s="6"/>
      <c r="G5" s="6"/>
      <c r="H5" s="7" t="s">
        <v>16</v>
      </c>
      <c r="I5" s="6"/>
      <c r="J5" s="6"/>
    </row>
    <row r="6" spans="1:10">
      <c r="A6" s="6" t="s">
        <v>55</v>
      </c>
      <c r="B6" s="6"/>
      <c r="C6" s="6"/>
      <c r="D6" s="6"/>
      <c r="E6" s="6"/>
      <c r="F6" s="6"/>
      <c r="G6" s="6"/>
      <c r="H6" s="8" t="s">
        <v>17</v>
      </c>
      <c r="I6" s="6"/>
      <c r="J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2026-08-16T20:15:17Z</dcterms:created>
  <dcterms:modified xsi:type="dcterms:W3CDTF">2026-09-02T03:37:19Z</dcterms:modified>
  <cp:category/>
  <cp:contentStatus/>
</cp:coreProperties>
</file>